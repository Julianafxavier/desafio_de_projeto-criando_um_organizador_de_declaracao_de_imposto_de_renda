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ana\Downloads\"/>
    </mc:Choice>
  </mc:AlternateContent>
  <xr:revisionPtr revIDLastSave="0" documentId="8_{638D1736-823F-459C-B640-F5E33367639E}" xr6:coauthVersionLast="46" xr6:coauthVersionMax="46" xr10:uidLastSave="{00000000-0000-0000-0000-000000000000}"/>
  <bookViews>
    <workbookView xWindow="-120" yWindow="-120" windowWidth="20730" windowHeight="11160" tabRatio="387" activeTab="1" xr2:uid="{3C87231D-59BD-43D5-B4C3-8949FB28994F}"/>
  </bookViews>
  <sheets>
    <sheet name="TÍTULAR" sheetId="1" r:id="rId1"/>
    <sheet name="INFORMAR" sheetId="8" r:id="rId2"/>
    <sheet name="NOTAS" sheetId="9" r:id="rId3"/>
    <sheet name="APOIO" sheetId="10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9" l="1"/>
  <c r="I31" i="9"/>
  <c r="C7" i="8"/>
</calcChain>
</file>

<file path=xl/sharedStrings.xml><?xml version="1.0" encoding="utf-8"?>
<sst xmlns="http://schemas.openxmlformats.org/spreadsheetml/2006/main" count="112" uniqueCount="94">
  <si>
    <t>NOME</t>
  </si>
  <si>
    <t>CPF</t>
  </si>
  <si>
    <t>NASCIMENTO</t>
  </si>
  <si>
    <t>TITULO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</si>
  <si>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</si>
  <si>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</si>
  <si>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</si>
  <si>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</si>
  <si>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</si>
  <si>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</si>
  <si>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</si>
  <si>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</si>
  <si>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</si>
  <si>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DO EXTERIOR</t>
  </si>
  <si>
    <t>1. DADOS DO TÍTULAR</t>
  </si>
  <si>
    <t>preencha os dados da sua pessoa fisíca abaixo</t>
  </si>
  <si>
    <t>Não</t>
  </si>
  <si>
    <t>Rua dos Limoeiros. R, -Nº 180</t>
  </si>
  <si>
    <t>Rua dos Limoeiros. Ruan, -Nº 180</t>
  </si>
  <si>
    <t>Mia Goth</t>
  </si>
  <si>
    <t>Felipe Skywalker Nobunaga</t>
  </si>
  <si>
    <t>felipe@dio.me</t>
  </si>
  <si>
    <t>2. INFORMES DE RENDIMENTO BANCÁRIOS</t>
  </si>
  <si>
    <t>preencha com seus dados de cada banco</t>
  </si>
  <si>
    <t>BANCO</t>
  </si>
  <si>
    <t>VALOR ATUAL</t>
  </si>
  <si>
    <t>ANEXO 🖇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</si>
  <si>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</si>
  <si>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</si>
  <si>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</si>
  <si>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</si>
  <si>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</si>
  <si>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</si>
  <si>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</si>
  <si>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</si>
  <si>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</si>
  <si>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</si>
  <si>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</si>
  <si>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</si>
  <si>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</si>
  <si>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</si>
  <si>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</si>
  <si>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</si>
  <si>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</si>
  <si>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</si>
  <si>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</si>
  <si>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</si>
  <si>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</si>
  <si>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</si>
  <si>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</si>
  <si>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</si>
  <si>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</si>
  <si>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</si>
  <si>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</si>
  <si>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</si>
  <si>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</si>
  <si>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</si>
  <si>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</si>
  <si>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</si>
  <si>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</si>
  <si>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</si>
  <si>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</si>
  <si>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</si>
  <si>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</si>
  <si>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</si>
  <si>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</si>
  <si>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</si>
  <si>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</si>
  <si>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</si>
  <si>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</si>
  <si>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</si>
  <si>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</si>
  <si>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</si>
  <si>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</si>
  <si>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</si>
  <si>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</si>
  <si>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</si>
  <si>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</si>
  <si>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</si>
  <si>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</si>
  <si>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</si>
  <si>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</si>
  <si>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</si>
  <si>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</si>
  <si>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</si>
  <si>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</si>
  <si>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</si>
  <si>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</si>
  <si>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</si>
  <si>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</si>
  <si>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DESPESAS</t>
  </si>
  <si>
    <t>Despesas Médicas</t>
  </si>
  <si>
    <t>3. NOTAS DESPESAS DEDUTÍVEIS</t>
  </si>
  <si>
    <t>São todos os valores de despesas dedutíveis pagos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</si>
</sst>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  <numFmt numFmtId="169" formatCode="mmmm\-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sz val="11"/>
      <color theme="1"/>
      <name val="Segoe UI"/>
      <family val="2"/>
    </font>
    <font>
      <b/>
      <sz val="10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7ADF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7"/>
        <bgColor indexed="64"/>
      </patternFill>
    </fill>
    <fill>
      <patternFill patternType="solid">
        <fgColor rgb="FFC91190"/>
        <bgColor indexed="64"/>
      </patternFill>
    </fill>
    <fill>
      <patternFill patternType="solid">
        <fgColor rgb="FFF9BFFD"/>
        <bgColor indexed="64"/>
      </patternFill>
    </fill>
    <fill>
      <patternFill patternType="solid">
        <fgColor rgb="FFF385F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7"/>
      </bottom>
      <diagonal/>
    </border>
    <border>
      <left/>
      <right/>
      <top style="thick">
        <color rgb="FFEE37B7"/>
      </top>
      <bottom/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 style="medium">
        <color theme="2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6" fillId="0" borderId="2" xfId="0" applyFont="1" applyBorder="1" applyAlignment="1">
      <alignment horizontal="right"/>
    </xf>
    <xf numFmtId="0" fontId="2" fillId="0" borderId="3" xfId="2" applyBorder="1"/>
    <xf numFmtId="0" fontId="7" fillId="0" borderId="3" xfId="2" applyFont="1" applyBorder="1"/>
    <xf numFmtId="0" fontId="5" fillId="5" borderId="0" xfId="0" applyFont="1" applyFill="1"/>
    <xf numFmtId="0" fontId="11" fillId="0" borderId="0" xfId="0" applyFont="1"/>
    <xf numFmtId="0" fontId="12" fillId="0" borderId="0" xfId="0" applyFont="1"/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7" xfId="0" applyFont="1" applyFill="1" applyBorder="1" applyAlignment="1">
      <alignment horizontal="center"/>
    </xf>
    <xf numFmtId="0" fontId="3" fillId="3" borderId="2" xfId="3" applyBorder="1" applyProtection="1">
      <protection locked="0"/>
    </xf>
    <xf numFmtId="164" fontId="3" fillId="3" borderId="2" xfId="3" applyNumberFormat="1" applyBorder="1" applyAlignment="1" applyProtection="1">
      <alignment horizontal="left"/>
      <protection locked="0"/>
    </xf>
    <xf numFmtId="14" fontId="3" fillId="3" borderId="2" xfId="3" applyNumberFormat="1" applyBorder="1" applyAlignment="1" applyProtection="1">
      <alignment horizontal="left"/>
      <protection locked="0"/>
    </xf>
    <xf numFmtId="0" fontId="3" fillId="3" borderId="2" xfId="3" applyBorder="1" applyAlignment="1" applyProtection="1">
      <alignment horizontal="left"/>
      <protection locked="0"/>
    </xf>
    <xf numFmtId="165" fontId="3" fillId="3" borderId="2" xfId="3" applyNumberFormat="1" applyBorder="1" applyAlignment="1" applyProtection="1">
      <alignment horizontal="left"/>
      <protection locked="0"/>
    </xf>
    <xf numFmtId="166" fontId="3" fillId="3" borderId="2" xfId="3" applyNumberFormat="1" applyBorder="1" applyAlignment="1" applyProtection="1">
      <alignment horizontal="left"/>
      <protection locked="0"/>
    </xf>
    <xf numFmtId="167" fontId="3" fillId="3" borderId="2" xfId="3" applyNumberFormat="1" applyBorder="1" applyAlignment="1" applyProtection="1">
      <alignment horizontal="left"/>
      <protection locked="0"/>
    </xf>
    <xf numFmtId="0" fontId="10" fillId="3" borderId="2" xfId="4" applyFill="1" applyBorder="1" applyProtection="1">
      <protection locked="0"/>
    </xf>
    <xf numFmtId="168" fontId="3" fillId="3" borderId="2" xfId="1" applyNumberFormat="1" applyFont="1" applyFill="1" applyBorder="1" applyAlignment="1" applyProtection="1">
      <alignment horizontal="left"/>
      <protection locked="0"/>
    </xf>
    <xf numFmtId="169" fontId="15" fillId="9" borderId="8" xfId="0" applyNumberFormat="1" applyFont="1" applyFill="1" applyBorder="1" applyAlignment="1" applyProtection="1">
      <alignment horizontal="center"/>
      <protection locked="0"/>
    </xf>
    <xf numFmtId="0" fontId="15" fillId="9" borderId="9" xfId="0" applyFont="1" applyFill="1" applyBorder="1" applyAlignment="1" applyProtection="1">
      <alignment horizontal="center"/>
      <protection locked="0"/>
    </xf>
    <xf numFmtId="168" fontId="15" fillId="9" borderId="10" xfId="0" applyNumberFormat="1" applyFont="1" applyFill="1" applyBorder="1" applyAlignment="1" applyProtection="1">
      <alignment horizontal="center"/>
      <protection locked="0"/>
    </xf>
    <xf numFmtId="169" fontId="15" fillId="8" borderId="8" xfId="0" applyNumberFormat="1" applyFont="1" applyFill="1" applyBorder="1" applyAlignment="1" applyProtection="1">
      <alignment horizontal="center"/>
      <protection locked="0"/>
    </xf>
    <xf numFmtId="0" fontId="15" fillId="8" borderId="9" xfId="0" applyFont="1" applyFill="1" applyBorder="1" applyAlignment="1" applyProtection="1">
      <alignment horizontal="center"/>
      <protection locked="0"/>
    </xf>
    <xf numFmtId="0" fontId="15" fillId="8" borderId="10" xfId="0" applyFont="1" applyFill="1" applyBorder="1" applyAlignment="1" applyProtection="1">
      <alignment horizontal="center"/>
      <protection locked="0"/>
    </xf>
    <xf numFmtId="169" fontId="15" fillId="0" borderId="8" xfId="0" applyNumberFormat="1" applyFont="1" applyBorder="1" applyAlignment="1" applyProtection="1">
      <alignment horizontal="center"/>
      <protection locked="0"/>
    </xf>
    <xf numFmtId="0" fontId="15" fillId="0" borderId="9" xfId="0" applyFont="1" applyBorder="1" applyAlignment="1" applyProtection="1">
      <alignment horizontal="center"/>
      <protection locked="0"/>
    </xf>
    <xf numFmtId="0" fontId="15" fillId="0" borderId="10" xfId="0" applyFont="1" applyBorder="1" applyAlignment="1" applyProtection="1">
      <alignment horizontal="center"/>
      <protection locked="0"/>
    </xf>
    <xf numFmtId="169" fontId="15" fillId="0" borderId="11" xfId="0" applyNumberFormat="1" applyFont="1" applyBorder="1" applyAlignment="1" applyProtection="1">
      <alignment horizontal="center"/>
      <protection locked="0"/>
    </xf>
    <xf numFmtId="0" fontId="15" fillId="0" borderId="12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/>
      <protection locked="0"/>
    </xf>
    <xf numFmtId="168" fontId="13" fillId="3" borderId="0" xfId="3" applyNumberFormat="1" applyFont="1" applyAlignment="1">
      <alignment horizontal="center"/>
    </xf>
    <xf numFmtId="0" fontId="8" fillId="4" borderId="4" xfId="0" applyFont="1" applyFill="1" applyBorder="1" applyAlignment="1">
      <alignment horizontal="left" vertical="center" indent="3"/>
    </xf>
    <xf numFmtId="0" fontId="9" fillId="4" borderId="4" xfId="0" applyFont="1" applyFill="1" applyBorder="1" applyAlignment="1">
      <alignment horizontal="left" vertical="center" indent="3"/>
    </xf>
    <xf numFmtId="168" fontId="13" fillId="3" borderId="0" xfId="3" applyNumberFormat="1" applyFont="1" applyAlignment="1">
      <alignment horizontal="center"/>
    </xf>
    <xf numFmtId="0" fontId="13" fillId="3" borderId="0" xfId="3" applyFont="1" applyAlignment="1">
      <alignment horizontal="center"/>
    </xf>
    <xf numFmtId="0" fontId="1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3" fillId="3" borderId="0" xfId="3" applyFont="1" applyAlignment="1">
      <alignment horizontal="right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border diagonalUp="0" diagonalDown="0" outline="0">
        <left style="medium">
          <color theme="2"/>
        </left>
        <right/>
        <top style="medium">
          <color theme="2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theme="2"/>
        </left>
        <right style="medium">
          <color theme="2"/>
        </right>
        <top style="medium">
          <color theme="2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fill>
        <patternFill patternType="solid">
          <fgColor indexed="64"/>
          <bgColor rgb="FFFFEB9C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theme="2"/>
        </right>
        <top style="medium">
          <color theme="2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/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border diagonalUp="0" diagonalDown="0">
        <left/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border>
        <top style="medium">
          <color theme="2"/>
        </top>
      </border>
    </dxf>
    <dxf>
      <border>
        <bottom style="medium">
          <color theme="2"/>
        </bottom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C9119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/>
        <bottom/>
        <vertical style="medium">
          <color theme="2"/>
        </vertical>
        <horizontal style="medium">
          <color theme="2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/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border diagonalUp="0" diagonalDown="0">
        <left/>
        <right style="medium">
          <color theme="2"/>
        </right>
        <top style="medium">
          <color theme="2"/>
        </top>
        <bottom style="medium">
          <color theme="2"/>
        </bottom>
      </border>
      <protection locked="0" hidden="0"/>
    </dxf>
    <dxf>
      <border>
        <top style="medium">
          <color theme="2"/>
        </top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>
        <bottom style="medium">
          <color theme="2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C9119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2"/>
        </left>
        <right style="medium">
          <color theme="2"/>
        </right>
        <top/>
        <bottom/>
        <vertical style="medium">
          <color theme="2"/>
        </vertical>
        <horizontal style="medium">
          <color theme="2"/>
        </horizontal>
      </border>
    </dxf>
    <dxf>
      <fill>
        <patternFill>
          <bgColor theme="2"/>
        </patternFill>
      </fill>
    </dxf>
    <dxf>
      <fill>
        <gradientFill degree="90">
          <stop position="0">
            <color rgb="FFF9BFFD"/>
          </stop>
          <stop position="1">
            <color auto="1"/>
          </stop>
        </gradientFill>
      </fill>
    </dxf>
    <dxf>
      <fill>
        <gradientFill degree="90">
          <stop position="0">
            <color rgb="FFF385FB"/>
          </stop>
          <stop position="1">
            <color auto="1"/>
          </stop>
        </gradientFill>
      </fill>
    </dxf>
    <dxf>
      <fill>
        <gradientFill degree="90">
          <stop position="0">
            <color rgb="FFC91190"/>
          </stop>
          <stop position="1">
            <color auto="1"/>
          </stop>
        </gradientFill>
      </fill>
    </dxf>
  </dxfs>
  <tableStyles count="1" defaultTableStyle="Estilo de Tabela 1" defaultPivotStyle="PivotStyleLight16">
    <tableStyle name="Estilo de Tabela 1" pivot="0" count="4" xr9:uid="{58F44D4D-FA66-4A14-B67C-4C54BC87DF47}">
      <tableStyleElement type="headerRow" dxfId="22"/>
      <tableStyleElement type="firstRowStripe" dxfId="21"/>
      <tableStyleElement type="secondRowStripe" dxfId="20"/>
      <tableStyleElement type="secondColumnStripe" size="4" dxfId="19"/>
    </tableStyle>
  </tableStyles>
  <colors>
    <mruColors>
      <color rgb="FFF385FB"/>
      <color rgb="FFF9BFFD"/>
      <color rgb="FFF59EFC"/>
      <color rgb="FFC91190"/>
      <color rgb="FFEE37B7"/>
      <color rgb="FFF7ADFD"/>
      <color rgb="FFEE37BF"/>
      <color rgb="FFFFFFFF"/>
      <color rgb="FF6124E8"/>
      <color rgb="FFFB9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ulianaf-xavier/" TargetMode="External"/><Relationship Id="rId7" Type="http://schemas.openxmlformats.org/officeDocument/2006/relationships/hyperlink" Target="#INFORMAR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AR!C1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&#205;TULAR!A1"/><Relationship Id="rId3" Type="http://schemas.openxmlformats.org/officeDocument/2006/relationships/hyperlink" Target="https://www.linkedin.com/in/julianaf-xavier/" TargetMode="External"/><Relationship Id="rId7" Type="http://schemas.openxmlformats.org/officeDocument/2006/relationships/hyperlink" Target="#NOTA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hyperlink" Target="#NOTAS!C1"/><Relationship Id="rId5" Type="http://schemas.openxmlformats.org/officeDocument/2006/relationships/hyperlink" Target="#INFORMAR!C1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julianaf-xavier/" TargetMode="External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5" Type="http://schemas.openxmlformats.org/officeDocument/2006/relationships/hyperlink" Target="#INFORMAR!C1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3</xdr:row>
      <xdr:rowOff>114300</xdr:rowOff>
    </xdr:from>
    <xdr:to>
      <xdr:col>0</xdr:col>
      <xdr:colOff>1581149</xdr:colOff>
      <xdr:row>9</xdr:row>
      <xdr:rowOff>19050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03042D69-FF3C-4148-8E38-43C4C4F97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6858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95250</xdr:rowOff>
    </xdr:from>
    <xdr:to>
      <xdr:col>0</xdr:col>
      <xdr:colOff>1752599</xdr:colOff>
      <xdr:row>3</xdr:row>
      <xdr:rowOff>19050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9F895EE-1E9B-43CD-83CC-8C40E2793FEF}"/>
            </a:ext>
          </a:extLst>
        </xdr:cNvPr>
        <xdr:cNvSpPr/>
      </xdr:nvSpPr>
      <xdr:spPr>
        <a:xfrm>
          <a:off x="228600" y="285750"/>
          <a:ext cx="1523999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LION</a:t>
          </a:r>
          <a:r>
            <a:rPr lang="pt-BR" sz="2000" baseline="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0</xdr:rowOff>
    </xdr:from>
    <xdr:to>
      <xdr:col>0</xdr:col>
      <xdr:colOff>1800225</xdr:colOff>
      <xdr:row>11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1DFDA8-2D9F-45E2-8F76-DF906D0EF7B0}"/>
            </a:ext>
          </a:extLst>
        </xdr:cNvPr>
        <xdr:cNvSpPr/>
      </xdr:nvSpPr>
      <xdr:spPr>
        <a:xfrm>
          <a:off x="133350" y="2124075"/>
          <a:ext cx="1666875" cy="381000"/>
        </a:xfrm>
        <a:prstGeom prst="roundRect">
          <a:avLst>
            <a:gd name="adj" fmla="val 50000"/>
          </a:avLst>
        </a:prstGeom>
        <a:gradFill flip="none" rotWithShape="1">
          <a:gsLst>
            <a:gs pos="13000">
              <a:srgbClr val="EE37B7"/>
            </a:gs>
            <a:gs pos="83000">
              <a:srgbClr val="6124E8">
                <a:lumMod val="75000"/>
                <a:alpha val="92000"/>
              </a:srgbClr>
            </a:gs>
          </a:gsLst>
          <a:lin ang="0" scaled="0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178594</xdr:colOff>
      <xdr:row>20</xdr:row>
      <xdr:rowOff>123826</xdr:rowOff>
    </xdr:from>
    <xdr:to>
      <xdr:col>0</xdr:col>
      <xdr:colOff>1885950</xdr:colOff>
      <xdr:row>22</xdr:row>
      <xdr:rowOff>28576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0B50389-5E58-43C9-B34A-162FAD5AE597}"/>
            </a:ext>
          </a:extLst>
        </xdr:cNvPr>
        <xdr:cNvSpPr/>
      </xdr:nvSpPr>
      <xdr:spPr>
        <a:xfrm>
          <a:off x="178594" y="3933826"/>
          <a:ext cx="1707356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SYSTEM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BY JU XAVIER </a:t>
          </a:r>
          <a:r>
            <a:rPr lang="pt-BR" sz="1100" baseline="0">
              <a:solidFill>
                <a:srgbClr val="EE37B7"/>
              </a:solidFill>
            </a:rPr>
            <a:t>💜</a:t>
          </a:r>
          <a:endParaRPr lang="pt-BR" sz="1100">
            <a:solidFill>
              <a:srgbClr val="EE37B7"/>
            </a:solidFill>
          </a:endParaRPr>
        </a:p>
      </xdr:txBody>
    </xdr:sp>
    <xdr:clientData/>
  </xdr:twoCellAnchor>
  <xdr:twoCellAnchor>
    <xdr:from>
      <xdr:col>0</xdr:col>
      <xdr:colOff>202406</xdr:colOff>
      <xdr:row>20</xdr:row>
      <xdr:rowOff>178594</xdr:rowOff>
    </xdr:from>
    <xdr:to>
      <xdr:col>0</xdr:col>
      <xdr:colOff>1783556</xdr:colOff>
      <xdr:row>20</xdr:row>
      <xdr:rowOff>188119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927A0F0-E3CD-4BBA-B669-B574C4201891}"/>
            </a:ext>
          </a:extLst>
        </xdr:cNvPr>
        <xdr:cNvCxnSpPr/>
      </xdr:nvCxnSpPr>
      <xdr:spPr>
        <a:xfrm>
          <a:off x="202406" y="3988594"/>
          <a:ext cx="1581150" cy="9525"/>
        </a:xfrm>
        <a:prstGeom prst="line">
          <a:avLst/>
        </a:prstGeom>
        <a:ln w="19050">
          <a:solidFill>
            <a:srgbClr val="EE37B7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22</xdr:row>
      <xdr:rowOff>63500</xdr:rowOff>
    </xdr:from>
    <xdr:to>
      <xdr:col>0</xdr:col>
      <xdr:colOff>1098551</xdr:colOff>
      <xdr:row>23</xdr:row>
      <xdr:rowOff>82551</xdr:rowOff>
    </xdr:to>
    <xdr:pic>
      <xdr:nvPicPr>
        <xdr:cNvPr id="9" name="icon_link" descr="Ícone de LinkedIn transparente no estilo Simple Sma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E639E7-4616-42DA-BE02-CCB009634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54500"/>
          <a:ext cx="209551" cy="2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12</xdr:row>
      <xdr:rowOff>133350</xdr:rowOff>
    </xdr:from>
    <xdr:to>
      <xdr:col>0</xdr:col>
      <xdr:colOff>1800225</xdr:colOff>
      <xdr:row>14</xdr:row>
      <xdr:rowOff>95250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5C38D3-EC7B-4D38-94FD-6D4BA950B1C1}"/>
            </a:ext>
          </a:extLst>
        </xdr:cNvPr>
        <xdr:cNvSpPr/>
      </xdr:nvSpPr>
      <xdr:spPr>
        <a:xfrm>
          <a:off x="133350" y="267652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57150</xdr:rowOff>
    </xdr:from>
    <xdr:to>
      <xdr:col>0</xdr:col>
      <xdr:colOff>1800225</xdr:colOff>
      <xdr:row>17</xdr:row>
      <xdr:rowOff>19050</xdr:rowOff>
    </xdr:to>
    <xdr:sp macro="" textlink="">
      <xdr:nvSpPr>
        <xdr:cNvPr id="13" name="Retângulo: Cantos Arredondado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792ECE-B4CB-4CF2-9DEF-BC8C98F6776B}"/>
            </a:ext>
          </a:extLst>
        </xdr:cNvPr>
        <xdr:cNvSpPr/>
      </xdr:nvSpPr>
      <xdr:spPr>
        <a:xfrm>
          <a:off x="133350" y="32289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/>
        </a:p>
      </xdr:txBody>
    </xdr:sp>
    <xdr:clientData/>
  </xdr:twoCellAnchor>
  <xdr:twoCellAnchor editAs="absolute">
    <xdr:from>
      <xdr:col>3</xdr:col>
      <xdr:colOff>1</xdr:colOff>
      <xdr:row>19</xdr:row>
      <xdr:rowOff>85725</xdr:rowOff>
    </xdr:from>
    <xdr:to>
      <xdr:col>3</xdr:col>
      <xdr:colOff>2867025</xdr:colOff>
      <xdr:row>21</xdr:row>
      <xdr:rowOff>76200</xdr:rowOff>
    </xdr:to>
    <xdr:sp macro="" textlink="">
      <xdr:nvSpPr>
        <xdr:cNvPr id="3" name="Retângul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37806D-D6DA-4B72-A692-3F158C569F55}"/>
            </a:ext>
          </a:extLst>
        </xdr:cNvPr>
        <xdr:cNvSpPr/>
      </xdr:nvSpPr>
      <xdr:spPr>
        <a:xfrm>
          <a:off x="5362576" y="4095750"/>
          <a:ext cx="2867024" cy="371475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PRÓXIMO -&gt;</a:t>
          </a:r>
        </a:p>
        <a:p>
          <a:pPr algn="ctr"/>
          <a:endParaRPr lang="pt-BR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3</xdr:row>
      <xdr:rowOff>114300</xdr:rowOff>
    </xdr:from>
    <xdr:to>
      <xdr:col>0</xdr:col>
      <xdr:colOff>1581149</xdr:colOff>
      <xdr:row>9</xdr:row>
      <xdr:rowOff>66675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87EB31C-C0AE-452B-AA6E-46419732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6858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95250</xdr:rowOff>
    </xdr:from>
    <xdr:to>
      <xdr:col>0</xdr:col>
      <xdr:colOff>1752599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97D41F0-CFBA-4DC7-A970-3A86C509FB01}"/>
            </a:ext>
          </a:extLst>
        </xdr:cNvPr>
        <xdr:cNvSpPr/>
      </xdr:nvSpPr>
      <xdr:spPr>
        <a:xfrm>
          <a:off x="228600" y="285750"/>
          <a:ext cx="1523999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LION</a:t>
          </a:r>
          <a:r>
            <a:rPr lang="pt-BR" sz="2000" baseline="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47625</xdr:rowOff>
    </xdr:from>
    <xdr:to>
      <xdr:col>0</xdr:col>
      <xdr:colOff>1800225</xdr:colOff>
      <xdr:row>12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C5FFCD-1DED-4A11-8AC9-478A6265A507}"/>
            </a:ext>
          </a:extLst>
        </xdr:cNvPr>
        <xdr:cNvSpPr/>
      </xdr:nvSpPr>
      <xdr:spPr>
        <a:xfrm>
          <a:off x="133350" y="21240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178594</xdr:colOff>
      <xdr:row>20</xdr:row>
      <xdr:rowOff>123826</xdr:rowOff>
    </xdr:from>
    <xdr:to>
      <xdr:col>0</xdr:col>
      <xdr:colOff>1885950</xdr:colOff>
      <xdr:row>22</xdr:row>
      <xdr:rowOff>28576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5FA97D6-0B57-405E-98B2-AC4A49E46DED}"/>
            </a:ext>
          </a:extLst>
        </xdr:cNvPr>
        <xdr:cNvSpPr/>
      </xdr:nvSpPr>
      <xdr:spPr>
        <a:xfrm>
          <a:off x="178594" y="3933826"/>
          <a:ext cx="1707356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SYSTEM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BY JU XAVIER </a:t>
          </a:r>
          <a:r>
            <a:rPr lang="pt-BR" sz="1100" baseline="0">
              <a:solidFill>
                <a:srgbClr val="EE37B7"/>
              </a:solidFill>
            </a:rPr>
            <a:t>💜</a:t>
          </a:r>
          <a:endParaRPr lang="pt-BR" sz="1100">
            <a:solidFill>
              <a:srgbClr val="EE37B7"/>
            </a:solidFill>
          </a:endParaRPr>
        </a:p>
      </xdr:txBody>
    </xdr:sp>
    <xdr:clientData/>
  </xdr:twoCellAnchor>
  <xdr:twoCellAnchor>
    <xdr:from>
      <xdr:col>0</xdr:col>
      <xdr:colOff>202406</xdr:colOff>
      <xdr:row>20</xdr:row>
      <xdr:rowOff>178594</xdr:rowOff>
    </xdr:from>
    <xdr:to>
      <xdr:col>0</xdr:col>
      <xdr:colOff>1783556</xdr:colOff>
      <xdr:row>20</xdr:row>
      <xdr:rowOff>188119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E9D72AA-59AE-48DC-9948-F566BCD38166}"/>
            </a:ext>
          </a:extLst>
        </xdr:cNvPr>
        <xdr:cNvCxnSpPr/>
      </xdr:nvCxnSpPr>
      <xdr:spPr>
        <a:xfrm>
          <a:off x="202406" y="3988594"/>
          <a:ext cx="1581150" cy="9525"/>
        </a:xfrm>
        <a:prstGeom prst="line">
          <a:avLst/>
        </a:prstGeom>
        <a:ln w="19050">
          <a:solidFill>
            <a:srgbClr val="EE37B7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22</xdr:row>
      <xdr:rowOff>63500</xdr:rowOff>
    </xdr:from>
    <xdr:to>
      <xdr:col>0</xdr:col>
      <xdr:colOff>1098551</xdr:colOff>
      <xdr:row>23</xdr:row>
      <xdr:rowOff>82551</xdr:rowOff>
    </xdr:to>
    <xdr:pic>
      <xdr:nvPicPr>
        <xdr:cNvPr id="7" name="icon_link" descr="Ícone de LinkedIn transparente no estilo Simple Sma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E24C88-1335-4E0F-A460-0596F6BA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54500"/>
          <a:ext cx="209551" cy="2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12</xdr:row>
      <xdr:rowOff>180975</xdr:rowOff>
    </xdr:from>
    <xdr:to>
      <xdr:col>0</xdr:col>
      <xdr:colOff>1800225</xdr:colOff>
      <xdr:row>14</xdr:row>
      <xdr:rowOff>180975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C4C5B3-3A7B-420A-BB34-FCD1EAA0420F}"/>
            </a:ext>
          </a:extLst>
        </xdr:cNvPr>
        <xdr:cNvSpPr/>
      </xdr:nvSpPr>
      <xdr:spPr>
        <a:xfrm>
          <a:off x="133350" y="2676525"/>
          <a:ext cx="1666875" cy="381000"/>
        </a:xfrm>
        <a:prstGeom prst="roundRect">
          <a:avLst>
            <a:gd name="adj" fmla="val 50000"/>
          </a:avLst>
        </a:prstGeom>
        <a:gradFill flip="none" rotWithShape="1">
          <a:gsLst>
            <a:gs pos="13000">
              <a:srgbClr val="EE37B7"/>
            </a:gs>
            <a:gs pos="83000">
              <a:srgbClr val="6124E8">
                <a:lumMod val="75000"/>
                <a:alpha val="92000"/>
              </a:srgbClr>
            </a:gs>
          </a:gsLst>
          <a:lin ang="0" scaled="0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142875</xdr:rowOff>
    </xdr:from>
    <xdr:to>
      <xdr:col>0</xdr:col>
      <xdr:colOff>1800225</xdr:colOff>
      <xdr:row>17</xdr:row>
      <xdr:rowOff>104775</xdr:rowOff>
    </xdr:to>
    <xdr:sp macro="" textlink="">
      <xdr:nvSpPr>
        <xdr:cNvPr id="9" name="Retângulo: Canto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3A9847-2733-45EB-8CB7-60B1F43EF9D0}"/>
            </a:ext>
          </a:extLst>
        </xdr:cNvPr>
        <xdr:cNvSpPr/>
      </xdr:nvSpPr>
      <xdr:spPr>
        <a:xfrm>
          <a:off x="133350" y="32289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/>
        </a:p>
      </xdr:txBody>
    </xdr:sp>
    <xdr:clientData/>
  </xdr:twoCellAnchor>
  <xdr:twoCellAnchor editAs="absolute">
    <xdr:from>
      <xdr:col>3</xdr:col>
      <xdr:colOff>0</xdr:colOff>
      <xdr:row>22</xdr:row>
      <xdr:rowOff>114300</xdr:rowOff>
    </xdr:from>
    <xdr:to>
      <xdr:col>3</xdr:col>
      <xdr:colOff>2867025</xdr:colOff>
      <xdr:row>24</xdr:row>
      <xdr:rowOff>104775</xdr:rowOff>
    </xdr:to>
    <xdr:sp macro="" textlink="">
      <xdr:nvSpPr>
        <xdr:cNvPr id="10" name="Retâ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9117BE-7091-4257-BDB5-80D375F1AFD9}"/>
            </a:ext>
          </a:extLst>
        </xdr:cNvPr>
        <xdr:cNvSpPr/>
      </xdr:nvSpPr>
      <xdr:spPr>
        <a:xfrm>
          <a:off x="5362575" y="4629150"/>
          <a:ext cx="2867025" cy="371475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PRÓXIMO</a:t>
          </a:r>
          <a:r>
            <a:rPr lang="pt-BR" sz="1100" b="0" baseline="0"/>
            <a:t> -</a:t>
          </a:r>
          <a:r>
            <a:rPr lang="pt-BR" sz="1100" b="0"/>
            <a:t>&gt;</a:t>
          </a:r>
        </a:p>
        <a:p>
          <a:pPr algn="ctr"/>
          <a:endParaRPr lang="pt-BR" sz="1100" b="0"/>
        </a:p>
      </xdr:txBody>
    </xdr:sp>
    <xdr:clientData/>
  </xdr:twoCellAnchor>
  <xdr:twoCellAnchor editAs="absolute">
    <xdr:from>
      <xdr:col>2</xdr:col>
      <xdr:colOff>1</xdr:colOff>
      <xdr:row>22</xdr:row>
      <xdr:rowOff>114300</xdr:rowOff>
    </xdr:from>
    <xdr:to>
      <xdr:col>2</xdr:col>
      <xdr:colOff>2781301</xdr:colOff>
      <xdr:row>24</xdr:row>
      <xdr:rowOff>104775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9ED548-9E86-4929-8111-72CF07D23B02}"/>
            </a:ext>
          </a:extLst>
        </xdr:cNvPr>
        <xdr:cNvSpPr/>
      </xdr:nvSpPr>
      <xdr:spPr>
        <a:xfrm>
          <a:off x="2543176" y="4629150"/>
          <a:ext cx="2781300" cy="371475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/>
            <a:t>&lt;- ANTERIOR</a:t>
          </a:r>
        </a:p>
        <a:p>
          <a:pPr algn="ctr"/>
          <a:endParaRPr lang="pt-BR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3</xdr:row>
      <xdr:rowOff>114300</xdr:rowOff>
    </xdr:from>
    <xdr:to>
      <xdr:col>0</xdr:col>
      <xdr:colOff>1581149</xdr:colOff>
      <xdr:row>9</xdr:row>
      <xdr:rowOff>38100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65E3E2A-AD1F-42E1-BFBB-89E5B4F9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6858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228600</xdr:colOff>
      <xdr:row>1</xdr:row>
      <xdr:rowOff>95250</xdr:rowOff>
    </xdr:from>
    <xdr:to>
      <xdr:col>0</xdr:col>
      <xdr:colOff>1752599</xdr:colOff>
      <xdr:row>3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E5ED5AE-E8A8-4A20-B82B-66CF115CB954}"/>
            </a:ext>
          </a:extLst>
        </xdr:cNvPr>
        <xdr:cNvSpPr/>
      </xdr:nvSpPr>
      <xdr:spPr>
        <a:xfrm>
          <a:off x="228600" y="285750"/>
          <a:ext cx="1523999" cy="371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LION</a:t>
          </a:r>
          <a:r>
            <a:rPr lang="pt-BR" sz="2000" baseline="0">
              <a:gradFill>
                <a:gsLst>
                  <a:gs pos="37000">
                    <a:schemeClr val="bg1"/>
                  </a:gs>
                  <a:gs pos="59000">
                    <a:srgbClr val="EE37B7"/>
                  </a:gs>
                  <a:gs pos="83000">
                    <a:srgbClr val="6124E8">
                      <a:lumMod val="68000"/>
                      <a:lumOff val="32000"/>
                    </a:srgbClr>
                  </a:gs>
                </a:gsLst>
                <a:lin ang="5400000" scaled="1"/>
              </a:gradFill>
              <a:effectLst>
                <a:glow>
                  <a:schemeClr val="accent1">
                    <a:alpha val="40000"/>
                  </a:schemeClr>
                </a:glow>
              </a:effectLst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133350</xdr:colOff>
      <xdr:row>10</xdr:row>
      <xdr:rowOff>9525</xdr:rowOff>
    </xdr:from>
    <xdr:to>
      <xdr:col>0</xdr:col>
      <xdr:colOff>1800225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99F631-62A6-45A6-9CED-76F793C137E0}"/>
            </a:ext>
          </a:extLst>
        </xdr:cNvPr>
        <xdr:cNvSpPr/>
      </xdr:nvSpPr>
      <xdr:spPr>
        <a:xfrm>
          <a:off x="133350" y="212407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178594</xdr:colOff>
      <xdr:row>20</xdr:row>
      <xdr:rowOff>123826</xdr:rowOff>
    </xdr:from>
    <xdr:to>
      <xdr:col>0</xdr:col>
      <xdr:colOff>1885950</xdr:colOff>
      <xdr:row>22</xdr:row>
      <xdr:rowOff>28576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E30EFC9-A1D0-4B1B-96DC-A2A45201EA7F}"/>
            </a:ext>
          </a:extLst>
        </xdr:cNvPr>
        <xdr:cNvSpPr/>
      </xdr:nvSpPr>
      <xdr:spPr>
        <a:xfrm>
          <a:off x="178594" y="3933826"/>
          <a:ext cx="1707356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tx1">
                  <a:lumMod val="50000"/>
                  <a:lumOff val="50000"/>
                </a:schemeClr>
              </a:solidFill>
            </a:rPr>
            <a:t>SYSTEM</a:t>
          </a:r>
          <a:r>
            <a:rPr lang="pt-BR" sz="1100" baseline="0">
              <a:solidFill>
                <a:schemeClr val="tx1">
                  <a:lumMod val="50000"/>
                  <a:lumOff val="50000"/>
                </a:schemeClr>
              </a:solidFill>
            </a:rPr>
            <a:t> BY JU XAVIER </a:t>
          </a:r>
          <a:r>
            <a:rPr lang="pt-BR" sz="1100" baseline="0">
              <a:solidFill>
                <a:srgbClr val="EE37B7"/>
              </a:solidFill>
            </a:rPr>
            <a:t>💜</a:t>
          </a:r>
          <a:endParaRPr lang="pt-BR" sz="1100">
            <a:solidFill>
              <a:srgbClr val="EE37B7"/>
            </a:solidFill>
          </a:endParaRPr>
        </a:p>
      </xdr:txBody>
    </xdr:sp>
    <xdr:clientData/>
  </xdr:twoCellAnchor>
  <xdr:twoCellAnchor>
    <xdr:from>
      <xdr:col>0</xdr:col>
      <xdr:colOff>202406</xdr:colOff>
      <xdr:row>20</xdr:row>
      <xdr:rowOff>178594</xdr:rowOff>
    </xdr:from>
    <xdr:to>
      <xdr:col>0</xdr:col>
      <xdr:colOff>1783556</xdr:colOff>
      <xdr:row>20</xdr:row>
      <xdr:rowOff>188119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4310089C-EA43-42D7-9390-5B2516B5F954}"/>
            </a:ext>
          </a:extLst>
        </xdr:cNvPr>
        <xdr:cNvCxnSpPr/>
      </xdr:nvCxnSpPr>
      <xdr:spPr>
        <a:xfrm>
          <a:off x="202406" y="3988594"/>
          <a:ext cx="1581150" cy="9525"/>
        </a:xfrm>
        <a:prstGeom prst="line">
          <a:avLst/>
        </a:prstGeom>
        <a:ln w="19050">
          <a:solidFill>
            <a:srgbClr val="EE37B7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22</xdr:row>
      <xdr:rowOff>63500</xdr:rowOff>
    </xdr:from>
    <xdr:to>
      <xdr:col>0</xdr:col>
      <xdr:colOff>1098551</xdr:colOff>
      <xdr:row>23</xdr:row>
      <xdr:rowOff>53976</xdr:rowOff>
    </xdr:to>
    <xdr:pic>
      <xdr:nvPicPr>
        <xdr:cNvPr id="7" name="icon_link" descr="Ícone de LinkedIn transparente no estilo Simple Smal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522654-5B21-49A3-ADD6-85E9711A2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254500"/>
          <a:ext cx="209551" cy="2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12</xdr:row>
      <xdr:rowOff>123825</xdr:rowOff>
    </xdr:from>
    <xdr:to>
      <xdr:col>0</xdr:col>
      <xdr:colOff>1800225</xdr:colOff>
      <xdr:row>14</xdr:row>
      <xdr:rowOff>66675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599E9D-9B98-424A-9396-7099A01CF481}"/>
            </a:ext>
          </a:extLst>
        </xdr:cNvPr>
        <xdr:cNvSpPr/>
      </xdr:nvSpPr>
      <xdr:spPr>
        <a:xfrm>
          <a:off x="133350" y="2676525"/>
          <a:ext cx="166687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INFORMAR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19050</xdr:rowOff>
    </xdr:from>
    <xdr:to>
      <xdr:col>0</xdr:col>
      <xdr:colOff>1800225</xdr:colOff>
      <xdr:row>16</xdr:row>
      <xdr:rowOff>180975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514AB4-D3D0-4E35-8B47-8F67B57554A9}"/>
            </a:ext>
          </a:extLst>
        </xdr:cNvPr>
        <xdr:cNvSpPr/>
      </xdr:nvSpPr>
      <xdr:spPr>
        <a:xfrm>
          <a:off x="133350" y="3228975"/>
          <a:ext cx="1666875" cy="381000"/>
        </a:xfrm>
        <a:prstGeom prst="roundRect">
          <a:avLst>
            <a:gd name="adj" fmla="val 50000"/>
          </a:avLst>
        </a:prstGeom>
        <a:gradFill flip="none" rotWithShape="1">
          <a:gsLst>
            <a:gs pos="13000">
              <a:srgbClr val="EE37B7"/>
            </a:gs>
            <a:gs pos="83000">
              <a:srgbClr val="6124E8">
                <a:lumMod val="75000"/>
                <a:alpha val="92000"/>
              </a:srgbClr>
            </a:gs>
          </a:gsLst>
          <a:lin ang="0" scaled="0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/>
        </a:p>
      </xdr:txBody>
    </xdr:sp>
    <xdr:clientData/>
  </xdr:twoCellAnchor>
  <xdr:twoCellAnchor editAs="absolute">
    <xdr:from>
      <xdr:col>4</xdr:col>
      <xdr:colOff>1162050</xdr:colOff>
      <xdr:row>4</xdr:row>
      <xdr:rowOff>76200</xdr:rowOff>
    </xdr:from>
    <xdr:to>
      <xdr:col>6</xdr:col>
      <xdr:colOff>485775</xdr:colOff>
      <xdr:row>5</xdr:row>
      <xdr:rowOff>133351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E79F14-12D8-4D80-B9FB-A6563720A4B6}"/>
            </a:ext>
          </a:extLst>
        </xdr:cNvPr>
        <xdr:cNvSpPr/>
      </xdr:nvSpPr>
      <xdr:spPr>
        <a:xfrm>
          <a:off x="6943725" y="962025"/>
          <a:ext cx="1552575" cy="247651"/>
        </a:xfrm>
        <a:prstGeom prst="rect">
          <a:avLst/>
        </a:prstGeom>
        <a:solidFill>
          <a:srgbClr val="C91190"/>
        </a:solidFill>
        <a:ln>
          <a:solidFill>
            <a:srgbClr val="C9119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0"/>
            <a:t>&lt;- ANTERIOR</a:t>
          </a:r>
        </a:p>
        <a:p>
          <a:pPr algn="ctr"/>
          <a:endParaRPr lang="pt-BR" sz="1050" b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FC465-CE32-45FB-8AF0-6128C0A8E553}" name="Tabela3" displayName="Tabela3" ref="C8:E29" totalsRowShown="0" headerRowDxfId="18" dataDxfId="16" headerRowBorderDxfId="17" tableBorderDxfId="15" totalsRowBorderDxfId="14">
  <autoFilter ref="C8:E29" xr:uid="{5DF32280-A770-4BE1-89AA-E74530A8BCB1}"/>
  <tableColumns count="3">
    <tableColumn id="1" xr3:uid="{C7C5C46A-A414-477F-AB4F-B2036DBD618F}" name="DATA" dataDxfId="13"/>
    <tableColumn id="2" xr3:uid="{63F0A67B-9E76-4412-9E73-1C4BDAAE9447}" name="CATEGORIA" dataDxfId="12"/>
    <tableColumn id="3" xr3:uid="{598289CC-B5E7-4F9E-806A-2CB967E57FCA}" name="VALOR" dataDxfId="11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39E46-31EB-4418-9FF7-02FA6C228EA1}" name="Tabela32" displayName="Tabela32" ref="G8:I29" totalsRowShown="0" headerRowDxfId="10" dataDxfId="9" headerRowBorderDxfId="7" tableBorderDxfId="8" totalsRowBorderDxfId="6">
  <autoFilter ref="G8:I29" xr:uid="{A78F6CF4-AE64-4419-A10B-104372CD6DC8}"/>
  <tableColumns count="3">
    <tableColumn id="1" xr3:uid="{38B49443-18CF-4968-B6B6-F806B3CAEAB7}" name="DATA" dataDxfId="5" totalsRowDxfId="2" totalsRowCellStyle="Neutro"/>
    <tableColumn id="2" xr3:uid="{42E6DDD1-E269-4F48-8D79-08F154E675CC}" name="CATEGORIA" dataDxfId="4" totalsRowDxfId="1" totalsRowCellStyle="Neutro"/>
    <tableColumn id="3" xr3:uid="{EAF52193-5AC9-4ECB-9E70-9E8A99FCB262}" name="VALOR" dataDxfId="3" totalsRowDxfId="0" totalsRowCellStyle="Neutro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7574-55D1-4347-85BA-DE65AD4AA321}">
  <sheetPr codeName="Planilha1"/>
  <dimension ref="A3:E19"/>
  <sheetViews>
    <sheetView showGridLines="0" showRowColHeaders="0" workbookViewId="0">
      <selection activeCell="D11" sqref="D11"/>
    </sheetView>
  </sheetViews>
  <sheetFormatPr defaultRowHeight="15" x14ac:dyDescent="0.25"/>
  <cols>
    <col min="1" max="1" width="29" style="1" customWidth="1"/>
    <col min="3" max="3" width="42.28515625" customWidth="1"/>
    <col min="4" max="4" width="43.28515625" customWidth="1"/>
  </cols>
  <sheetData>
    <row r="3" spans="3:5" ht="20.25" customHeight="1" thickBot="1" x14ac:dyDescent="0.35">
      <c r="C3" s="4" t="s">
        <v>14</v>
      </c>
      <c r="D3" s="3"/>
      <c r="E3" s="3"/>
    </row>
    <row r="4" spans="3:5" ht="19.5" customHeight="1" thickTop="1" x14ac:dyDescent="0.25">
      <c r="C4" s="33" t="s">
        <v>15</v>
      </c>
      <c r="D4" s="34"/>
      <c r="E4" s="34"/>
    </row>
    <row r="6" spans="3:5" ht="16.5" x14ac:dyDescent="0.3">
      <c r="C6" s="2" t="s">
        <v>0</v>
      </c>
      <c r="D6" s="11" t="s">
        <v>20</v>
      </c>
    </row>
    <row r="7" spans="3:5" ht="16.5" x14ac:dyDescent="0.3">
      <c r="C7" s="2" t="s">
        <v>1</v>
      </c>
      <c r="D7" s="12">
        <v>12312312398</v>
      </c>
    </row>
    <row r="8" spans="3:5" ht="16.5" x14ac:dyDescent="0.3">
      <c r="C8" s="2" t="s">
        <v>2</v>
      </c>
      <c r="D8" s="13">
        <v>34605</v>
      </c>
    </row>
    <row r="9" spans="3:5" ht="16.5" x14ac:dyDescent="0.3">
      <c r="C9" s="2" t="s">
        <v>3</v>
      </c>
      <c r="D9" s="14">
        <v>31713388</v>
      </c>
    </row>
    <row r="10" spans="3:5" ht="16.5" x14ac:dyDescent="0.3">
      <c r="C10" s="2" t="s">
        <v>4</v>
      </c>
      <c r="D10" s="11" t="s">
        <v>19</v>
      </c>
    </row>
    <row r="11" spans="3:5" ht="16.5" x14ac:dyDescent="0.3">
      <c r="C11" s="2" t="s">
        <v>5</v>
      </c>
      <c r="D11" s="11" t="s">
        <v>18</v>
      </c>
    </row>
    <row r="12" spans="3:5" ht="16.5" x14ac:dyDescent="0.3">
      <c r="C12" s="2" t="s">
        <v>6</v>
      </c>
      <c r="D12" s="11" t="s">
        <v>17</v>
      </c>
    </row>
    <row r="13" spans="3:5" ht="16.5" x14ac:dyDescent="0.3">
      <c r="C13" s="2" t="s">
        <v>7</v>
      </c>
      <c r="D13" s="15">
        <v>987654321</v>
      </c>
    </row>
    <row r="14" spans="3:5" ht="16.5" x14ac:dyDescent="0.3">
      <c r="C14" s="2" t="s">
        <v>8</v>
      </c>
      <c r="D14" s="16">
        <v>1131713388</v>
      </c>
    </row>
    <row r="15" spans="3:5" ht="16.5" x14ac:dyDescent="0.3">
      <c r="C15" s="2" t="s">
        <v>9</v>
      </c>
      <c r="D15" s="17">
        <v>11931713388</v>
      </c>
    </row>
    <row r="16" spans="3:5" ht="16.5" x14ac:dyDescent="0.3">
      <c r="C16" s="2" t="s">
        <v>10</v>
      </c>
      <c r="D16" s="18" t="s">
        <v>21</v>
      </c>
    </row>
    <row r="17" spans="3:4" ht="16.5" x14ac:dyDescent="0.3">
      <c r="C17" s="2" t="s">
        <v>11</v>
      </c>
      <c r="D17" s="11" t="s">
        <v>16</v>
      </c>
    </row>
    <row r="18" spans="3:4" ht="16.5" x14ac:dyDescent="0.3">
      <c r="C18" s="2" t="s">
        <v>12</v>
      </c>
      <c r="D18" s="11" t="s">
        <v>16</v>
      </c>
    </row>
    <row r="19" spans="3:4" ht="16.5" x14ac:dyDescent="0.3">
      <c r="C19" s="2" t="s">
        <v>13</v>
      </c>
      <c r="D19" s="11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6DE28741-F585-420B-9354-FEA88F738904}">
      <formula1>"Sim,Não"</formula1>
    </dataValidation>
  </dataValidations>
  <hyperlinks>
    <hyperlink ref="D16" r:id="rId1" xr:uid="{2A92B6B2-6555-406B-9224-304C6112742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4A98-9E6A-49F9-90FD-F0665C8D7D21}">
  <sheetPr codeName="Planilha2"/>
  <dimension ref="A3:E22"/>
  <sheetViews>
    <sheetView showGridLines="0" showRowColHeaders="0" tabSelected="1" topLeftCell="A16" workbookViewId="0">
      <selection activeCell="D16" sqref="D16"/>
    </sheetView>
  </sheetViews>
  <sheetFormatPr defaultRowHeight="15" x14ac:dyDescent="0.25"/>
  <cols>
    <col min="1" max="1" width="29" style="1" customWidth="1"/>
    <col min="3" max="3" width="42.28515625" customWidth="1"/>
    <col min="4" max="4" width="43.28515625" customWidth="1"/>
  </cols>
  <sheetData>
    <row r="3" spans="3:5" ht="20.25" customHeight="1" thickBot="1" x14ac:dyDescent="0.35">
      <c r="C3" s="4" t="s">
        <v>22</v>
      </c>
      <c r="D3" s="3"/>
      <c r="E3" s="3"/>
    </row>
    <row r="4" spans="3:5" ht="19.5" customHeight="1" thickTop="1" x14ac:dyDescent="0.25">
      <c r="C4" s="33" t="s">
        <v>23</v>
      </c>
      <c r="D4" s="34"/>
      <c r="E4" s="34"/>
    </row>
    <row r="6" spans="3:5" ht="16.5" x14ac:dyDescent="0.3">
      <c r="C6" s="7" t="s">
        <v>82</v>
      </c>
    </row>
    <row r="7" spans="3:5" ht="15.75" x14ac:dyDescent="0.25">
      <c r="C7" s="35">
        <f>SUM(D11,D16,D21)</f>
        <v>58312768</v>
      </c>
      <c r="D7" s="36"/>
    </row>
    <row r="9" spans="3:5" x14ac:dyDescent="0.25">
      <c r="C9" s="6" t="s">
        <v>79</v>
      </c>
    </row>
    <row r="10" spans="3:5" ht="16.5" x14ac:dyDescent="0.3">
      <c r="C10" s="2" t="s">
        <v>24</v>
      </c>
      <c r="D10" s="11" t="s">
        <v>46</v>
      </c>
    </row>
    <row r="11" spans="3:5" ht="16.5" x14ac:dyDescent="0.3">
      <c r="C11" s="2" t="s">
        <v>25</v>
      </c>
      <c r="D11" s="19">
        <v>500000</v>
      </c>
    </row>
    <row r="12" spans="3:5" ht="16.5" x14ac:dyDescent="0.3">
      <c r="C12" s="2" t="s">
        <v>26</v>
      </c>
      <c r="D12" s="11" t="s">
        <v>78</v>
      </c>
    </row>
    <row r="14" spans="3:5" x14ac:dyDescent="0.25">
      <c r="C14" s="6" t="s">
        <v>80</v>
      </c>
    </row>
    <row r="15" spans="3:5" ht="16.5" x14ac:dyDescent="0.3">
      <c r="C15" s="2" t="s">
        <v>24</v>
      </c>
      <c r="D15" s="11" t="s">
        <v>46</v>
      </c>
    </row>
    <row r="16" spans="3:5" ht="16.5" x14ac:dyDescent="0.3">
      <c r="C16" s="2" t="s">
        <v>25</v>
      </c>
      <c r="D16" s="19">
        <v>1312312</v>
      </c>
    </row>
    <row r="17" spans="3:4" ht="16.5" x14ac:dyDescent="0.3">
      <c r="C17" s="2" t="s">
        <v>26</v>
      </c>
      <c r="D17" s="11" t="s">
        <v>78</v>
      </c>
    </row>
    <row r="19" spans="3:4" x14ac:dyDescent="0.25">
      <c r="C19" s="6" t="s">
        <v>81</v>
      </c>
    </row>
    <row r="20" spans="3:4" ht="16.5" x14ac:dyDescent="0.3">
      <c r="C20" s="2" t="s">
        <v>24</v>
      </c>
      <c r="D20" s="11" t="s">
        <v>46</v>
      </c>
    </row>
    <row r="21" spans="3:4" ht="16.5" x14ac:dyDescent="0.3">
      <c r="C21" s="2" t="s">
        <v>25</v>
      </c>
      <c r="D21" s="19">
        <v>56500456</v>
      </c>
    </row>
    <row r="22" spans="3:4" ht="16.5" x14ac:dyDescent="0.3">
      <c r="C22" s="2" t="s">
        <v>26</v>
      </c>
      <c r="D22" s="11" t="s">
        <v>78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B8D3F7E3-9D4A-4FB8-9216-F95D4A07D8CE}">
          <x14:formula1>
            <xm:f>APOIO!$A$2:$A$51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2801-F1CA-484F-9753-C85494AA58E9}">
  <sheetPr codeName="Planilha3"/>
  <dimension ref="A3:I31"/>
  <sheetViews>
    <sheetView showGridLines="0" topLeftCell="B1" zoomScaleNormal="100" workbookViewId="0">
      <selection activeCell="C9" sqref="C9"/>
    </sheetView>
  </sheetViews>
  <sheetFormatPr defaultRowHeight="15" x14ac:dyDescent="0.25"/>
  <cols>
    <col min="1" max="1" width="29" style="1" customWidth="1"/>
    <col min="3" max="5" width="24.28515625" customWidth="1"/>
    <col min="7" max="7" width="24.28515625" customWidth="1"/>
    <col min="8" max="8" width="26.85546875" bestFit="1" customWidth="1"/>
    <col min="9" max="9" width="24.28515625" customWidth="1"/>
  </cols>
  <sheetData>
    <row r="3" spans="3:9" ht="20.25" customHeight="1" thickBot="1" x14ac:dyDescent="0.35">
      <c r="C3" s="4" t="s">
        <v>83</v>
      </c>
      <c r="D3" s="3"/>
      <c r="E3" s="3"/>
      <c r="G3" s="4" t="s">
        <v>92</v>
      </c>
      <c r="H3" s="3"/>
      <c r="I3" s="3"/>
    </row>
    <row r="4" spans="3:9" ht="19.5" customHeight="1" thickTop="1" x14ac:dyDescent="0.25">
      <c r="C4" s="33" t="s">
        <v>84</v>
      </c>
      <c r="D4" s="34"/>
      <c r="E4" s="34"/>
      <c r="G4" s="33" t="s">
        <v>93</v>
      </c>
      <c r="H4" s="34"/>
      <c r="I4" s="34"/>
    </row>
    <row r="7" spans="3:9" ht="16.5" x14ac:dyDescent="0.3">
      <c r="C7" s="37" t="s">
        <v>88</v>
      </c>
      <c r="D7" s="38"/>
      <c r="E7" s="38"/>
      <c r="G7" s="37" t="s">
        <v>90</v>
      </c>
      <c r="H7" s="38"/>
      <c r="I7" s="38"/>
    </row>
    <row r="8" spans="3:9" ht="15.75" thickBot="1" x14ac:dyDescent="0.3">
      <c r="C8" s="8" t="s">
        <v>85</v>
      </c>
      <c r="D8" s="9" t="s">
        <v>86</v>
      </c>
      <c r="E8" s="10" t="s">
        <v>87</v>
      </c>
      <c r="G8" s="8" t="s">
        <v>85</v>
      </c>
      <c r="H8" s="9" t="s">
        <v>86</v>
      </c>
      <c r="I8" s="10" t="s">
        <v>87</v>
      </c>
    </row>
    <row r="9" spans="3:9" ht="17.25" thickBot="1" x14ac:dyDescent="0.35">
      <c r="C9" s="20">
        <v>46274</v>
      </c>
      <c r="D9" s="21" t="s">
        <v>89</v>
      </c>
      <c r="E9" s="22">
        <v>3000</v>
      </c>
      <c r="G9" s="20">
        <v>46274</v>
      </c>
      <c r="H9" s="21" t="s">
        <v>91</v>
      </c>
      <c r="I9" s="22">
        <v>500</v>
      </c>
    </row>
    <row r="10" spans="3:9" ht="17.25" thickBot="1" x14ac:dyDescent="0.35">
      <c r="C10" s="23"/>
      <c r="D10" s="24"/>
      <c r="E10" s="25"/>
      <c r="G10" s="23"/>
      <c r="H10" s="24"/>
      <c r="I10" s="25"/>
    </row>
    <row r="11" spans="3:9" ht="17.25" thickBot="1" x14ac:dyDescent="0.35">
      <c r="C11" s="26"/>
      <c r="D11" s="27"/>
      <c r="E11" s="28"/>
      <c r="G11" s="26"/>
      <c r="H11" s="27"/>
      <c r="I11" s="28"/>
    </row>
    <row r="12" spans="3:9" ht="17.25" thickBot="1" x14ac:dyDescent="0.35">
      <c r="C12" s="26"/>
      <c r="D12" s="27"/>
      <c r="E12" s="28"/>
      <c r="G12" s="26"/>
      <c r="H12" s="27"/>
      <c r="I12" s="28"/>
    </row>
    <row r="13" spans="3:9" ht="17.25" thickBot="1" x14ac:dyDescent="0.35">
      <c r="C13" s="26"/>
      <c r="D13" s="27"/>
      <c r="E13" s="28"/>
      <c r="G13" s="26"/>
      <c r="H13" s="27"/>
      <c r="I13" s="28"/>
    </row>
    <row r="14" spans="3:9" ht="17.25" thickBot="1" x14ac:dyDescent="0.35">
      <c r="C14" s="26"/>
      <c r="D14" s="27"/>
      <c r="E14" s="28"/>
      <c r="G14" s="26"/>
      <c r="H14" s="27"/>
      <c r="I14" s="28"/>
    </row>
    <row r="15" spans="3:9" ht="17.25" thickBot="1" x14ac:dyDescent="0.35">
      <c r="C15" s="26"/>
      <c r="D15" s="27"/>
      <c r="E15" s="28"/>
      <c r="G15" s="26"/>
      <c r="H15" s="27"/>
      <c r="I15" s="28"/>
    </row>
    <row r="16" spans="3:9" ht="17.25" thickBot="1" x14ac:dyDescent="0.35">
      <c r="C16" s="26"/>
      <c r="D16" s="27"/>
      <c r="E16" s="28"/>
      <c r="G16" s="26"/>
      <c r="H16" s="27"/>
      <c r="I16" s="28"/>
    </row>
    <row r="17" spans="3:9" ht="17.25" thickBot="1" x14ac:dyDescent="0.35">
      <c r="C17" s="26"/>
      <c r="D17" s="27"/>
      <c r="E17" s="28"/>
      <c r="G17" s="26"/>
      <c r="H17" s="27"/>
      <c r="I17" s="28"/>
    </row>
    <row r="18" spans="3:9" ht="17.25" thickBot="1" x14ac:dyDescent="0.35">
      <c r="C18" s="26"/>
      <c r="D18" s="27"/>
      <c r="E18" s="28"/>
      <c r="G18" s="26"/>
      <c r="H18" s="27"/>
      <c r="I18" s="28"/>
    </row>
    <row r="19" spans="3:9" ht="17.25" thickBot="1" x14ac:dyDescent="0.35">
      <c r="C19" s="26"/>
      <c r="D19" s="27"/>
      <c r="E19" s="28"/>
      <c r="G19" s="26"/>
      <c r="H19" s="27"/>
      <c r="I19" s="28"/>
    </row>
    <row r="20" spans="3:9" ht="17.25" thickBot="1" x14ac:dyDescent="0.35">
      <c r="C20" s="26"/>
      <c r="D20" s="27"/>
      <c r="E20" s="28"/>
      <c r="G20" s="26"/>
      <c r="H20" s="27"/>
      <c r="I20" s="28"/>
    </row>
    <row r="21" spans="3:9" ht="17.25" thickBot="1" x14ac:dyDescent="0.35">
      <c r="C21" s="26"/>
      <c r="D21" s="27"/>
      <c r="E21" s="28"/>
      <c r="G21" s="26"/>
      <c r="H21" s="27"/>
      <c r="I21" s="28"/>
    </row>
    <row r="22" spans="3:9" ht="17.25" thickBot="1" x14ac:dyDescent="0.35">
      <c r="C22" s="29"/>
      <c r="D22" s="30"/>
      <c r="E22" s="31"/>
      <c r="G22" s="29"/>
      <c r="H22" s="30"/>
      <c r="I22" s="31"/>
    </row>
    <row r="23" spans="3:9" ht="17.25" thickBot="1" x14ac:dyDescent="0.35">
      <c r="C23" s="26"/>
      <c r="D23" s="27"/>
      <c r="E23" s="28"/>
      <c r="G23" s="26"/>
      <c r="H23" s="27"/>
      <c r="I23" s="28"/>
    </row>
    <row r="24" spans="3:9" ht="17.25" thickBot="1" x14ac:dyDescent="0.35">
      <c r="C24" s="26"/>
      <c r="D24" s="27"/>
      <c r="E24" s="28"/>
      <c r="G24" s="26"/>
      <c r="H24" s="27"/>
      <c r="I24" s="28"/>
    </row>
    <row r="25" spans="3:9" ht="17.25" thickBot="1" x14ac:dyDescent="0.35">
      <c r="C25" s="26"/>
      <c r="D25" s="27"/>
      <c r="E25" s="28"/>
      <c r="G25" s="26"/>
      <c r="H25" s="27"/>
      <c r="I25" s="28"/>
    </row>
    <row r="26" spans="3:9" ht="17.25" thickBot="1" x14ac:dyDescent="0.35">
      <c r="C26" s="26"/>
      <c r="D26" s="27"/>
      <c r="E26" s="28"/>
      <c r="G26" s="26"/>
      <c r="H26" s="27"/>
      <c r="I26" s="28"/>
    </row>
    <row r="27" spans="3:9" ht="17.25" thickBot="1" x14ac:dyDescent="0.35">
      <c r="C27" s="26"/>
      <c r="D27" s="27"/>
      <c r="E27" s="28"/>
      <c r="G27" s="26"/>
      <c r="H27" s="27"/>
      <c r="I27" s="28"/>
    </row>
    <row r="28" spans="3:9" ht="17.25" thickBot="1" x14ac:dyDescent="0.35">
      <c r="C28" s="26"/>
      <c r="D28" s="27"/>
      <c r="E28" s="28"/>
      <c r="G28" s="26"/>
      <c r="H28" s="27"/>
      <c r="I28" s="28"/>
    </row>
    <row r="29" spans="3:9" ht="16.5" x14ac:dyDescent="0.3">
      <c r="C29" s="29"/>
      <c r="D29" s="30"/>
      <c r="E29" s="31"/>
      <c r="G29" s="29"/>
      <c r="H29" s="30"/>
      <c r="I29" s="31"/>
    </row>
    <row r="31" spans="3:9" ht="15.75" x14ac:dyDescent="0.25">
      <c r="C31" s="39" t="s">
        <v>82</v>
      </c>
      <c r="D31" s="39"/>
      <c r="E31" s="32">
        <f>SUM(Tabela3[VALOR])</f>
        <v>3000</v>
      </c>
      <c r="G31" s="39" t="s">
        <v>82</v>
      </c>
      <c r="H31" s="39"/>
      <c r="I31" s="32">
        <f>SUM(Tabela32[VALOR])</f>
        <v>500</v>
      </c>
    </row>
  </sheetData>
  <sheetProtection sheet="1" objects="1" scenarios="1" selectLockedCells="1"/>
  <mergeCells count="6">
    <mergeCell ref="C4:E4"/>
    <mergeCell ref="C7:E7"/>
    <mergeCell ref="G7:I7"/>
    <mergeCell ref="G4:I4"/>
    <mergeCell ref="G31:H31"/>
    <mergeCell ref="C31:D31"/>
  </mergeCells>
  <dataValidations count="2">
    <dataValidation type="list" allowBlank="1" showInputMessage="1" showErrorMessage="1" sqref="D9:D29" xr:uid="{2D92B1E3-2E55-4303-88AE-2D84D5499D75}">
      <formula1>"HOLERITE,CNPJ,FREELANCE"</formula1>
    </dataValidation>
    <dataValidation type="list" allowBlank="1" showInputMessage="1" showErrorMessage="1" sqref="H9:H29" xr:uid="{7E14CFB8-F784-4B31-B00A-2278E4C21298}">
      <formula1>"Despesas Médicas,Educação,Previdência oficial,Previdência complementar,Pensão alimentícia"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53E5-1677-4AFF-A358-C9C22FF2DF1F}">
  <dimension ref="A1:A51"/>
  <sheetViews>
    <sheetView showGridLines="0" workbookViewId="0">
      <selection activeCell="F15" sqref="F15"/>
    </sheetView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INFORMAR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</cp:lastModifiedBy>
  <dcterms:created xsi:type="dcterms:W3CDTF">2026-09-08T17:47:21Z</dcterms:created>
  <dcterms:modified xsi:type="dcterms:W3CDTF">2026-09-10T20:20:07Z</dcterms:modified>
</cp:coreProperties>
</file>